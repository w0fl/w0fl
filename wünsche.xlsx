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ateien\Programmieren\w0fl\"/>
    </mc:Choice>
  </mc:AlternateContent>
  <xr:revisionPtr revIDLastSave="0" documentId="13_ncr:1_{AD5EF809-2B81-4846-9405-6597B7731528}" xr6:coauthVersionLast="47" xr6:coauthVersionMax="47" xr10:uidLastSave="{00000000-0000-0000-0000-000000000000}"/>
  <bookViews>
    <workbookView xWindow="-120" yWindow="-120" windowWidth="38640" windowHeight="21240" activeTab="2" xr2:uid="{9F29547C-95CE-47C1-A685-E4A01FDA0794}"/>
  </bookViews>
  <sheets>
    <sheet name="Wishlist" sheetId="1" r:id="rId1"/>
    <sheet name="Magic" sheetId="3" r:id="rId2"/>
    <sheet name="Carrera" sheetId="4" r:id="rId3"/>
    <sheet name="P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5" l="1"/>
  <c r="K21" i="5"/>
  <c r="E21" i="5"/>
  <c r="B21" i="5"/>
  <c r="E31" i="1"/>
</calcChain>
</file>

<file path=xl/sharedStrings.xml><?xml version="1.0" encoding="utf-8"?>
<sst xmlns="http://schemas.openxmlformats.org/spreadsheetml/2006/main" count="136" uniqueCount="121">
  <si>
    <t>Name</t>
  </si>
  <si>
    <t>Link</t>
  </si>
  <si>
    <t>Preis</t>
  </si>
  <si>
    <t>https://www.medimops.de/roger-allers-der-koenig-der-loewen-teil-1-2-3-3-dvds-dvd-M0B07GJ4JRHD.html</t>
  </si>
  <si>
    <t>Der König der Löwen - Teil 1, 2 &amp; 3 [3 DVDs]</t>
  </si>
  <si>
    <t>Metall-Kreditkarte USB-Stick (Schwarz, 64 GB)</t>
  </si>
  <si>
    <t>https://www.mediamarkt.de/de/product/_usb-germany--metall-kreditkarte-usb-stick-schw-89446557.html</t>
  </si>
  <si>
    <t>Longboardteile</t>
  </si>
  <si>
    <t>Kingpin Mutter, Hardware 3x, Railguards</t>
  </si>
  <si>
    <t>Traveling Chocobo</t>
  </si>
  <si>
    <t>https://www.cardmarket.com/en/Magic/Products/Singles/Magic-The-Gathering-FINAL-FANTASY/Traveling-Chocobo?utm_campaign=card_prices&amp;utm_medium=text&amp;utm_source=scryfall</t>
  </si>
  <si>
    <t>Mirror Box</t>
  </si>
  <si>
    <t>https://www.cardmarket.com/en/Magic/Products/Singles/Magic-The-Gathering-Foundations-Extras/Omniscience-V1?utm_campaign=card_prices&amp;utm_medium=text&amp;utm_source=scryfall</t>
  </si>
  <si>
    <t>Omniscience</t>
  </si>
  <si>
    <t>Bristly Bill, Spine Sower</t>
  </si>
  <si>
    <t>https://www.cardmarket.com/en/Magic/Products/Singles/Outlaws-of-Thunder-Junction/Bristly-Bill-Spine-Sower?utm_campaign=card_prices&amp;utm_medium=text&amp;utm_source=scryfall</t>
  </si>
  <si>
    <t>Mossborn Hydra</t>
  </si>
  <si>
    <t>https://www.cardmarket.com/en/Magic/Products/Singles/Magic-The-Gathering-Foundations-Extras/Mossborn-Hydra-V1?utm_campaign=card_prices&amp;utm_medium=text&amp;utm_source=scryfall</t>
  </si>
  <si>
    <t>Staff of Domination</t>
  </si>
  <si>
    <t>Arbor Adherent</t>
  </si>
  <si>
    <t>Exploration</t>
  </si>
  <si>
    <t>The Eternity Elevator</t>
  </si>
  <si>
    <t>Zusammen:</t>
  </si>
  <si>
    <t>Bruna, the Fading Light</t>
  </si>
  <si>
    <t xml:space="preserve">Brisela, Voice of Nightmares </t>
  </si>
  <si>
    <t>Gisela, the Broken Blade</t>
  </si>
  <si>
    <t>Linvala, Keeper of Silence</t>
  </si>
  <si>
    <t>Linvala, the Preserver</t>
  </si>
  <si>
    <t>Lyra Dawnbringer</t>
  </si>
  <si>
    <t>Radiant, Archangel</t>
  </si>
  <si>
    <t>Reya Dawnbringer</t>
  </si>
  <si>
    <t>Sephara, Sky's Blade</t>
  </si>
  <si>
    <t>Avacyn, Angel of Hope</t>
  </si>
  <si>
    <t>Akroma, Vision of Ixidor</t>
  </si>
  <si>
    <t>Partner</t>
  </si>
  <si>
    <t>Autos</t>
  </si>
  <si>
    <t>Vorderreifen</t>
  </si>
  <si>
    <t>Hinterreifen</t>
  </si>
  <si>
    <t>Audi R8 GT LMS Phoenix-Racing, ADAC GT Masters 2009, No.14</t>
  </si>
  <si>
    <t>BMW M4 DTM BMW Team RMG – Bruno Spengler</t>
  </si>
  <si>
    <t>Chevrolet Corvette C8R Pace Car</t>
  </si>
  <si>
    <t>De Tomaso Pantera Gr. 5</t>
  </si>
  <si>
    <t>Ferrari FXX K Evoluzione</t>
  </si>
  <si>
    <t>KTM X-Bow GT2 True Racing</t>
  </si>
  <si>
    <t>McLaren M20 ’72 McLaren Cars No.5, ’72</t>
  </si>
  <si>
    <t>Mercedes-AMG GT3 „AKKA ASP, No.87“</t>
  </si>
  <si>
    <t>Mercedes-AMG GT3 Carrera – 12h Paul Ricard 2021</t>
  </si>
  <si>
    <t>Porsche 911 GT3 RSR Lechner Racing „Carrera Race Taxi“</t>
  </si>
  <si>
    <t>Porsche 911 RSR „Porsche GT Team, #911“</t>
  </si>
  <si>
    <t>Porsche 917/30 Sunoco Porsche Audi No.6, ’73</t>
  </si>
  <si>
    <t>Mercedes-SLS AMG Polizei</t>
  </si>
  <si>
    <t>Porsche 911 GT3 R "Absolute Racing, No.25" Macao GP 2024</t>
  </si>
  <si>
    <t>Porsche 911 RSR Gulf Racing Mike Wainwright Nr.86 Silverstone 2018</t>
  </si>
  <si>
    <t>Hat schon?</t>
  </si>
  <si>
    <t>51b</t>
  </si>
  <si>
    <t xml:space="preserve">51a </t>
  </si>
  <si>
    <t>51b, 33b</t>
  </si>
  <si>
    <t>49d, 33bv</t>
  </si>
  <si>
    <t>33bv</t>
  </si>
  <si>
    <t xml:space="preserve">44d </t>
  </si>
  <si>
    <t>51a</t>
  </si>
  <si>
    <t xml:space="preserve">33j </t>
  </si>
  <si>
    <t>Extra</t>
  </si>
  <si>
    <t>33n</t>
  </si>
  <si>
    <t xml:space="preserve">33hv </t>
  </si>
  <si>
    <t xml:space="preserve">33L </t>
  </si>
  <si>
    <t xml:space="preserve">49d </t>
  </si>
  <si>
    <t>33b, 33bd</t>
  </si>
  <si>
    <t xml:space="preserve">37s </t>
  </si>
  <si>
    <t>33p</t>
  </si>
  <si>
    <t>At.nr,</t>
  </si>
  <si>
    <t>https://www.gokarli.de/DSM-RC-Flexibler-Slotcar-Spoiler-kompatibel-zu-Carrera-Evolution-Digital-132-BMW-M4-DTM</t>
  </si>
  <si>
    <t>https://www.gokarli.de/DSM-RC-Flexibler-Slotcar-Spoiler-kompatibel-zu-Carrera-Evolution-Digital-132-KTM-X-BOW-GTX</t>
  </si>
  <si>
    <t>https://www.gokarli.de/DSM-RC-Flexibler-Slotcar-Spoiler-kompatibel-zu-Carrera-Evolution-Digital-132-Corvette-C8R</t>
  </si>
  <si>
    <t>49aog</t>
  </si>
  <si>
    <t>33z</t>
  </si>
  <si>
    <t xml:space="preserve"> 33b</t>
  </si>
  <si>
    <t>Porsche 911 RSR "Pink Pig Design"</t>
  </si>
  <si>
    <t>Aston Martin Vantage AMR GT3 EVO "Walkenhorst Motorsport"</t>
  </si>
  <si>
    <t>PC - Ifself</t>
  </si>
  <si>
    <t>Peripherie</t>
  </si>
  <si>
    <t>Setup</t>
  </si>
  <si>
    <t>Microsoft LifeCam Studio</t>
  </si>
  <si>
    <t>SSD 2TB Kingston NV1 M.2 PCIe 3.0 x4</t>
  </si>
  <si>
    <t>MB ASRock Pro RS Intel Z690 So. 1700</t>
  </si>
  <si>
    <t>Alt - Teile</t>
  </si>
  <si>
    <t>LC-Power Gaming 993B Midi Tower</t>
  </si>
  <si>
    <t>SSD 500GB Crucial MX500 2.5"</t>
  </si>
  <si>
    <t>12GB MSI GeForce RTX 3060 Ventus 2X OC</t>
  </si>
  <si>
    <t>4TB Seagate IronWolf Pro NAS</t>
  </si>
  <si>
    <t>be quiet! MB Sleeved Power Cable CB-6620</t>
  </si>
  <si>
    <t>Corsair Lighting Node Pro Set</t>
  </si>
  <si>
    <t>1000 Watt be quiet! Pure Power 13</t>
  </si>
  <si>
    <t>PSU 750 Watt be quiet! Straight Power 11</t>
  </si>
  <si>
    <t>CPU Intel Core i7 13700K 16 (8+8)</t>
  </si>
  <si>
    <t>LG Monitor Kleinanzeigen IPS Damaged</t>
  </si>
  <si>
    <t>Philips 24" V Line LCD (Euronics)</t>
  </si>
  <si>
    <t>27" 200Hz iiyama G-MASTER G2771QS-B1 Red Eagle</t>
  </si>
  <si>
    <t>24,5" (62,23cm) MSI Optix G251PF 165Hz</t>
  </si>
  <si>
    <t>Alpenföhn Gletscherwasser 360 High Speed</t>
  </si>
  <si>
    <t>Alpenföhn 120mm Wing Boost 3 ARGB High Speed 3x</t>
  </si>
  <si>
    <t>Thermal Grizzly CPU Contact Frame</t>
  </si>
  <si>
    <r>
      <t>MSI</t>
    </r>
    <r>
      <rPr>
        <sz val="11"/>
        <color theme="1"/>
        <rFont val="Aptos Narrow"/>
        <family val="2"/>
        <scheme val="minor"/>
      </rPr>
      <t xml:space="preserve"> GeForce RTX 5080 GAMING TRIO OC</t>
    </r>
  </si>
  <si>
    <t>Everest Max - German ISO / MX Brown / Midnight Black</t>
  </si>
  <si>
    <t>Glaze GPL205G0 Lube</t>
  </si>
  <si>
    <t>Höhenverstellbarer Schreibtisch E7 2026</t>
  </si>
  <si>
    <t>Titanwolf Gaming Mauspad, XXL</t>
  </si>
  <si>
    <t>G801 Logitech Tastatur</t>
  </si>
  <si>
    <t>G502 Logitech Maus</t>
  </si>
  <si>
    <t>6GB Asus GTX 1060</t>
  </si>
  <si>
    <t>Nyfpad XXL Koi Premium Gaming Mousepad</t>
  </si>
  <si>
    <t>Maus Logitech G502 X Lightspeed</t>
  </si>
  <si>
    <t>Auna Mikrophone</t>
  </si>
  <si>
    <t>HyperX Wristrest</t>
  </si>
  <si>
    <t>Managed Switch</t>
  </si>
  <si>
    <t xml:space="preserve">Holz im Pc </t>
  </si>
  <si>
    <t>Plastik im Pc</t>
  </si>
  <si>
    <t>USB Hub</t>
  </si>
  <si>
    <t>Controller PowerA</t>
  </si>
  <si>
    <t>16GB Corsair Vengeance LPX schwarz DDR4-3200 4x</t>
  </si>
  <si>
    <t>G.Skill TridentZ DDR4 32 GB 2 x 16 GB 3200 MHz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</si>
</sst>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2" xfId="0" applyFont="1" applyFill="1" applyBorder="1"/>
    <xf numFmtId="0" fontId="0" fillId="4" borderId="3" xfId="0" applyFill="1" applyBorder="1"/>
    <xf numFmtId="0" fontId="0" fillId="6" borderId="4" xfId="0" applyFill="1" applyBorder="1"/>
    <xf numFmtId="0" fontId="0" fillId="3" borderId="5" xfId="0" applyFill="1" applyBorder="1"/>
    <xf numFmtId="0" fontId="0" fillId="7" borderId="6" xfId="0" applyFill="1" applyBorder="1"/>
    <xf numFmtId="0" fontId="0" fillId="3" borderId="7" xfId="0" applyFill="1" applyBorder="1"/>
    <xf numFmtId="0" fontId="0" fillId="7" borderId="9" xfId="0" applyFill="1" applyBorder="1"/>
    <xf numFmtId="164" fontId="0" fillId="5" borderId="1" xfId="0" applyNumberFormat="1" applyFill="1" applyBorder="1"/>
    <xf numFmtId="164" fontId="0" fillId="5" borderId="8" xfId="0" applyNumberFormat="1" applyFill="1" applyBorder="1"/>
    <xf numFmtId="0" fontId="2" fillId="7" borderId="6" xfId="1" applyFill="1" applyBorder="1"/>
    <xf numFmtId="0" fontId="0" fillId="3" borderId="10" xfId="0" applyFill="1" applyBorder="1"/>
    <xf numFmtId="164" fontId="0" fillId="5" borderId="11" xfId="0" applyNumberFormat="1" applyFill="1" applyBorder="1"/>
    <xf numFmtId="0" fontId="0" fillId="7" borderId="12" xfId="0" applyFill="1" applyBorder="1"/>
    <xf numFmtId="0" fontId="0" fillId="3" borderId="13" xfId="0" applyFill="1" applyBorder="1"/>
    <xf numFmtId="164" fontId="0" fillId="5" borderId="14" xfId="0" applyNumberFormat="1" applyFill="1" applyBorder="1"/>
    <xf numFmtId="0" fontId="0" fillId="7" borderId="15" xfId="0" applyFill="1" applyBorder="1"/>
    <xf numFmtId="0" fontId="0" fillId="7" borderId="0" xfId="0" applyFill="1"/>
    <xf numFmtId="0" fontId="1" fillId="3" borderId="0" xfId="0" applyFont="1" applyFill="1"/>
    <xf numFmtId="0" fontId="0" fillId="3" borderId="1" xfId="0" applyFill="1" applyBorder="1"/>
    <xf numFmtId="0" fontId="0" fillId="5" borderId="1" xfId="0" applyFill="1" applyBorder="1"/>
    <xf numFmtId="0" fontId="0" fillId="8" borderId="1" xfId="0" applyFill="1" applyBorder="1"/>
    <xf numFmtId="0" fontId="2" fillId="8" borderId="1" xfId="1" applyFill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/>
    <xf numFmtId="0" fontId="1" fillId="4" borderId="0" xfId="0" applyFont="1" applyFill="1"/>
    <xf numFmtId="0" fontId="0" fillId="4" borderId="0" xfId="0" applyFill="1"/>
    <xf numFmtId="44" fontId="0" fillId="0" borderId="0" xfId="2" applyFont="1"/>
    <xf numFmtId="0" fontId="4" fillId="0" borderId="0" xfId="0" applyFont="1"/>
  </cellXfs>
  <cellStyles count="3">
    <cellStyle name="Link" xfId="1" builtinId="8"/>
    <cellStyle name="Standard" xfId="0" builtinId="0"/>
    <cellStyle name="Währung" xfId="2" builtinId="4"/>
  </cellStyles>
  <dxfs count="0"/>
  <tableStyles count="0" defaultTableStyle="TableStyleMedium2" defaultPivotStyle="PivotStyleLight16"/>
  <colors>
    <mruColors>
      <color rgb="FF8EDD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dimops.de/roger-allers-der-koenig-der-loewen-teil-1-2-3-3-dvds-dvd-M0B07GJ4JRHD.html" TargetMode="External"/><Relationship Id="rId1" Type="http://schemas.openxmlformats.org/officeDocument/2006/relationships/hyperlink" Target="https://www.mediamarkt.de/de/product/_usb-germany--metall-kreditkarte-usb-stick-schw-89446557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dmarket.com/en/Magic/Products/Singles/Magic-The-Gathering-Foundations-Extras/Omniscience-V1?utm_campaign=card_prices&amp;utm_medium=text&amp;utm_source=scryfall" TargetMode="External"/><Relationship Id="rId2" Type="http://schemas.openxmlformats.org/officeDocument/2006/relationships/hyperlink" Target="https://www.cardmarket.com/en/Magic/Products/Singles/Magic-The-Gathering-Foundations-Extras/Mossborn-Hydra-V1?utm_campaign=card_prices&amp;utm_medium=text&amp;utm_source=scryfall" TargetMode="External"/><Relationship Id="rId1" Type="http://schemas.openxmlformats.org/officeDocument/2006/relationships/hyperlink" Target="https://www.cardmarket.com/en/Magic/Products/Singles/Magic-The-Gathering-FINAL-FANTASY/Traveling-Chocobo?utm_campaign=card_prices&amp;utm_medium=text&amp;utm_source=scryfal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karli.de/DSM-RC-Flexibler-Slotcar-Spoiler-kompatibel-zu-Carrera-Evolution-Digital-132-BMW-M4-DTM" TargetMode="External"/><Relationship Id="rId2" Type="http://schemas.openxmlformats.org/officeDocument/2006/relationships/hyperlink" Target="https://www.gokarli.de/DSM-RC-Flexibler-Slotcar-Spoiler-kompatibel-zu-Carrera-Evolution-Digital-132-Corvette-C8R" TargetMode="External"/><Relationship Id="rId1" Type="http://schemas.openxmlformats.org/officeDocument/2006/relationships/hyperlink" Target="https://www.gokarli.de/DSM-RC-Flexibler-Slotcar-Spoiler-kompatibel-zu-Carrera-Evolution-Digital-132-KTM-X-BOW-GT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4137-11F5-4973-9DE2-28FD7788D8D9}">
  <sheetPr>
    <tabColor rgb="FF0070C0"/>
  </sheetPr>
  <dimension ref="B3:F36"/>
  <sheetViews>
    <sheetView topLeftCell="D1" workbookViewId="0">
      <selection activeCell="F19" sqref="F19"/>
    </sheetView>
  </sheetViews>
  <sheetFormatPr baseColWidth="10" defaultColWidth="11.42578125" defaultRowHeight="15" x14ac:dyDescent="0.25"/>
  <cols>
    <col min="1" max="1" width="0" hidden="1" customWidth="1"/>
    <col min="2" max="3" width="11.42578125" hidden="1" customWidth="1"/>
    <col min="4" max="4" width="73.140625" customWidth="1"/>
    <col min="5" max="5" width="15" customWidth="1"/>
    <col min="6" max="6" width="174.7109375" customWidth="1"/>
  </cols>
  <sheetData>
    <row r="3" spans="4:6" ht="15.75" thickBot="1" x14ac:dyDescent="0.3"/>
    <row r="4" spans="4:6" x14ac:dyDescent="0.25">
      <c r="D4" s="1" t="s">
        <v>0</v>
      </c>
      <c r="E4" s="2" t="s">
        <v>2</v>
      </c>
      <c r="F4" s="3" t="s">
        <v>1</v>
      </c>
    </row>
    <row r="5" spans="4:6" x14ac:dyDescent="0.25">
      <c r="D5" s="4" t="s">
        <v>4</v>
      </c>
      <c r="E5" s="8">
        <v>12</v>
      </c>
      <c r="F5" s="10" t="s">
        <v>3</v>
      </c>
    </row>
    <row r="6" spans="4:6" x14ac:dyDescent="0.25">
      <c r="D6" s="4" t="s">
        <v>5</v>
      </c>
      <c r="E6" s="8">
        <v>15</v>
      </c>
      <c r="F6" s="10" t="s">
        <v>6</v>
      </c>
    </row>
    <row r="7" spans="4:6" x14ac:dyDescent="0.25">
      <c r="D7" s="4"/>
      <c r="E7" s="8"/>
      <c r="F7" s="10"/>
    </row>
    <row r="8" spans="4:6" x14ac:dyDescent="0.25">
      <c r="D8" s="4"/>
      <c r="E8" s="8"/>
      <c r="F8" s="5"/>
    </row>
    <row r="9" spans="4:6" x14ac:dyDescent="0.25">
      <c r="D9" s="4"/>
      <c r="E9" s="8"/>
      <c r="F9" s="10"/>
    </row>
    <row r="10" spans="4:6" x14ac:dyDescent="0.25">
      <c r="D10" s="4"/>
      <c r="E10" s="8"/>
      <c r="F10" s="10"/>
    </row>
    <row r="11" spans="4:6" x14ac:dyDescent="0.25">
      <c r="D11" s="4"/>
      <c r="E11" s="8"/>
      <c r="F11" s="10"/>
    </row>
    <row r="12" spans="4:6" x14ac:dyDescent="0.25">
      <c r="D12" s="4"/>
      <c r="E12" s="8"/>
      <c r="F12" s="10"/>
    </row>
    <row r="13" spans="4:6" x14ac:dyDescent="0.25">
      <c r="D13" s="4"/>
      <c r="E13" s="8"/>
      <c r="F13" s="10"/>
    </row>
    <row r="14" spans="4:6" x14ac:dyDescent="0.25">
      <c r="D14" s="19"/>
      <c r="E14" s="20"/>
      <c r="F14" s="22"/>
    </row>
    <row r="15" spans="4:6" x14ac:dyDescent="0.25">
      <c r="D15" s="19"/>
      <c r="E15" s="20"/>
      <c r="F15" s="21"/>
    </row>
    <row r="16" spans="4:6" x14ac:dyDescent="0.25">
      <c r="D16" s="4"/>
      <c r="E16" s="8"/>
      <c r="F16" s="5"/>
    </row>
    <row r="17" spans="4:6" x14ac:dyDescent="0.25">
      <c r="D17" s="4"/>
      <c r="E17" s="8"/>
      <c r="F17" s="10"/>
    </row>
    <row r="18" spans="4:6" x14ac:dyDescent="0.25">
      <c r="D18" s="4"/>
      <c r="E18" s="8"/>
      <c r="F18" s="10"/>
    </row>
    <row r="19" spans="4:6" x14ac:dyDescent="0.25">
      <c r="D19" s="4"/>
      <c r="E19" s="8"/>
      <c r="F19" s="10"/>
    </row>
    <row r="20" spans="4:6" x14ac:dyDescent="0.25">
      <c r="D20" s="4"/>
      <c r="E20" s="8"/>
      <c r="F20" s="5"/>
    </row>
    <row r="21" spans="4:6" x14ac:dyDescent="0.25">
      <c r="D21" s="4"/>
      <c r="E21" s="8"/>
      <c r="F21" s="10"/>
    </row>
    <row r="22" spans="4:6" x14ac:dyDescent="0.25">
      <c r="D22" s="4"/>
      <c r="E22" s="8"/>
      <c r="F22" s="10"/>
    </row>
    <row r="23" spans="4:6" x14ac:dyDescent="0.25">
      <c r="D23" s="4"/>
      <c r="E23" s="8"/>
      <c r="F23" s="10"/>
    </row>
    <row r="24" spans="4:6" x14ac:dyDescent="0.25">
      <c r="D24" s="4"/>
      <c r="E24" s="8"/>
      <c r="F24" s="10"/>
    </row>
    <row r="25" spans="4:6" x14ac:dyDescent="0.25">
      <c r="D25" s="4"/>
      <c r="E25" s="8"/>
      <c r="F25" s="10"/>
    </row>
    <row r="26" spans="4:6" x14ac:dyDescent="0.25">
      <c r="D26" s="4"/>
      <c r="E26" s="8"/>
      <c r="F26" s="10"/>
    </row>
    <row r="27" spans="4:6" x14ac:dyDescent="0.25">
      <c r="D27" s="4"/>
      <c r="E27" s="8"/>
      <c r="F27" s="5"/>
    </row>
    <row r="28" spans="4:6" x14ac:dyDescent="0.25">
      <c r="D28" s="14"/>
      <c r="E28" s="15"/>
      <c r="F28" s="16"/>
    </row>
    <row r="29" spans="4:6" x14ac:dyDescent="0.25">
      <c r="D29" s="4"/>
      <c r="E29" s="8"/>
      <c r="F29" s="5"/>
    </row>
    <row r="30" spans="4:6" x14ac:dyDescent="0.25">
      <c r="D30" s="4"/>
      <c r="E30" s="8"/>
      <c r="F30" s="5"/>
    </row>
    <row r="31" spans="4:6" x14ac:dyDescent="0.25">
      <c r="D31" s="4" t="s">
        <v>22</v>
      </c>
      <c r="E31" s="8">
        <f>SUM(E17:E29)</f>
        <v>0</v>
      </c>
      <c r="F31" s="5"/>
    </row>
    <row r="32" spans="4:6" x14ac:dyDescent="0.25">
      <c r="D32" s="4"/>
      <c r="E32" s="8"/>
      <c r="F32" s="5"/>
    </row>
    <row r="33" spans="4:6" x14ac:dyDescent="0.25">
      <c r="D33" s="11"/>
      <c r="E33" s="12"/>
      <c r="F33" s="13"/>
    </row>
    <row r="34" spans="4:6" ht="15.75" thickBot="1" x14ac:dyDescent="0.3">
      <c r="D34" s="6"/>
      <c r="E34" s="9"/>
      <c r="F34" s="7"/>
    </row>
    <row r="36" spans="4:6" x14ac:dyDescent="0.25">
      <c r="E36" s="18" t="s">
        <v>7</v>
      </c>
      <c r="F36" s="17" t="s">
        <v>8</v>
      </c>
    </row>
  </sheetData>
  <hyperlinks>
    <hyperlink ref="F6" r:id="rId1" xr:uid="{90C88114-7627-4494-8C30-DA96E3807496}"/>
    <hyperlink ref="F5" r:id="rId2" xr:uid="{0A379125-3A72-4E57-9F78-717BE7E120E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D39E-9558-4DDB-A7D5-B4179F56DE08}">
  <sheetPr>
    <tabColor rgb="FF0070C0"/>
  </sheetPr>
  <dimension ref="B3:F34"/>
  <sheetViews>
    <sheetView topLeftCell="D1" workbookViewId="0">
      <selection activeCell="D24" sqref="D24"/>
    </sheetView>
  </sheetViews>
  <sheetFormatPr baseColWidth="10" defaultColWidth="11.42578125" defaultRowHeight="15" x14ac:dyDescent="0.25"/>
  <cols>
    <col min="1" max="1" width="0" hidden="1" customWidth="1"/>
    <col min="2" max="3" width="11.42578125" hidden="1" customWidth="1"/>
    <col min="4" max="4" width="73.140625" customWidth="1"/>
    <col min="5" max="5" width="15" customWidth="1"/>
    <col min="6" max="6" width="174.7109375" customWidth="1"/>
  </cols>
  <sheetData>
    <row r="3" spans="4:6" ht="15.75" thickBot="1" x14ac:dyDescent="0.3"/>
    <row r="4" spans="4:6" x14ac:dyDescent="0.25">
      <c r="D4" s="1" t="s">
        <v>0</v>
      </c>
      <c r="E4" s="2" t="s">
        <v>2</v>
      </c>
      <c r="F4" s="3" t="s">
        <v>1</v>
      </c>
    </row>
    <row r="5" spans="4:6" x14ac:dyDescent="0.25">
      <c r="D5" s="4" t="s">
        <v>9</v>
      </c>
      <c r="E5" s="8">
        <v>22</v>
      </c>
      <c r="F5" s="10" t="s">
        <v>10</v>
      </c>
    </row>
    <row r="6" spans="4:6" x14ac:dyDescent="0.25">
      <c r="D6" s="4" t="s">
        <v>13</v>
      </c>
      <c r="E6" s="8">
        <v>5</v>
      </c>
      <c r="F6" s="10" t="s">
        <v>12</v>
      </c>
    </row>
    <row r="7" spans="4:6" x14ac:dyDescent="0.25">
      <c r="D7" s="4" t="s">
        <v>14</v>
      </c>
      <c r="E7" s="8">
        <v>25</v>
      </c>
      <c r="F7" s="10" t="s">
        <v>15</v>
      </c>
    </row>
    <row r="8" spans="4:6" x14ac:dyDescent="0.25">
      <c r="D8" s="4" t="s">
        <v>16</v>
      </c>
      <c r="E8" s="8">
        <v>10</v>
      </c>
      <c r="F8" s="10" t="s">
        <v>17</v>
      </c>
    </row>
    <row r="9" spans="4:6" x14ac:dyDescent="0.25">
      <c r="D9" s="4" t="s">
        <v>20</v>
      </c>
      <c r="E9" s="8">
        <v>30</v>
      </c>
      <c r="F9" s="10"/>
    </row>
    <row r="10" spans="4:6" x14ac:dyDescent="0.25">
      <c r="D10" s="4" t="s">
        <v>21</v>
      </c>
      <c r="E10" s="8"/>
      <c r="F10" s="10"/>
    </row>
    <row r="11" spans="4:6" x14ac:dyDescent="0.25">
      <c r="D11" s="4"/>
      <c r="E11" s="8"/>
      <c r="F11" s="10"/>
    </row>
    <row r="12" spans="4:6" x14ac:dyDescent="0.25">
      <c r="D12" s="4"/>
      <c r="E12" s="8"/>
      <c r="F12" s="10"/>
    </row>
    <row r="13" spans="4:6" x14ac:dyDescent="0.25">
      <c r="D13" s="4" t="s">
        <v>18</v>
      </c>
      <c r="E13" s="8">
        <v>2</v>
      </c>
      <c r="F13" s="10"/>
    </row>
    <row r="14" spans="4:6" x14ac:dyDescent="0.25">
      <c r="D14" s="4" t="s">
        <v>19</v>
      </c>
      <c r="E14" s="8">
        <v>1</v>
      </c>
      <c r="F14" s="10"/>
    </row>
    <row r="15" spans="4:6" x14ac:dyDescent="0.25">
      <c r="D15" s="4"/>
      <c r="E15" s="8"/>
      <c r="F15" s="10"/>
    </row>
    <row r="16" spans="4:6" x14ac:dyDescent="0.25">
      <c r="D16" s="4"/>
      <c r="E16" s="8"/>
      <c r="F16" s="5"/>
    </row>
    <row r="17" spans="4:6" x14ac:dyDescent="0.25">
      <c r="D17" s="4"/>
      <c r="E17" s="8"/>
      <c r="F17" s="5"/>
    </row>
    <row r="18" spans="4:6" x14ac:dyDescent="0.25">
      <c r="D18" s="4" t="s">
        <v>23</v>
      </c>
      <c r="E18" s="8">
        <v>2.5</v>
      </c>
      <c r="F18" s="5"/>
    </row>
    <row r="19" spans="4:6" x14ac:dyDescent="0.25">
      <c r="D19" s="4" t="s">
        <v>25</v>
      </c>
      <c r="E19" s="8">
        <v>10</v>
      </c>
      <c r="F19" s="5"/>
    </row>
    <row r="20" spans="4:6" x14ac:dyDescent="0.25">
      <c r="D20" s="4" t="s">
        <v>24</v>
      </c>
      <c r="E20" s="8"/>
      <c r="F20" s="5"/>
    </row>
    <row r="21" spans="4:6" x14ac:dyDescent="0.25">
      <c r="D21" s="4" t="s">
        <v>26</v>
      </c>
      <c r="E21" s="8">
        <v>20</v>
      </c>
      <c r="F21" s="5"/>
    </row>
    <row r="22" spans="4:6" x14ac:dyDescent="0.25">
      <c r="D22" s="4" t="s">
        <v>27</v>
      </c>
      <c r="E22" s="8">
        <v>0.3</v>
      </c>
      <c r="F22" s="5"/>
    </row>
    <row r="23" spans="4:6" x14ac:dyDescent="0.25">
      <c r="D23" s="4" t="s">
        <v>28</v>
      </c>
      <c r="E23" s="8">
        <v>4</v>
      </c>
      <c r="F23" s="5"/>
    </row>
    <row r="24" spans="4:6" x14ac:dyDescent="0.25">
      <c r="D24" s="4" t="s">
        <v>29</v>
      </c>
      <c r="E24" s="8">
        <v>5</v>
      </c>
      <c r="F24" s="5"/>
    </row>
    <row r="25" spans="4:6" x14ac:dyDescent="0.25">
      <c r="D25" s="4" t="s">
        <v>30</v>
      </c>
      <c r="E25" s="8">
        <v>3</v>
      </c>
      <c r="F25" s="5"/>
    </row>
    <row r="26" spans="4:6" x14ac:dyDescent="0.25">
      <c r="D26" s="4" t="s">
        <v>31</v>
      </c>
      <c r="E26" s="8">
        <v>3</v>
      </c>
      <c r="F26" s="5"/>
    </row>
    <row r="27" spans="4:6" x14ac:dyDescent="0.25">
      <c r="D27" s="4" t="s">
        <v>32</v>
      </c>
      <c r="E27" s="8">
        <v>25</v>
      </c>
      <c r="F27" s="5"/>
    </row>
    <row r="28" spans="4:6" x14ac:dyDescent="0.25">
      <c r="D28" s="14" t="s">
        <v>33</v>
      </c>
      <c r="E28" s="15">
        <v>7</v>
      </c>
      <c r="F28" s="16" t="s">
        <v>34</v>
      </c>
    </row>
    <row r="29" spans="4:6" x14ac:dyDescent="0.25">
      <c r="D29" s="4"/>
      <c r="E29" s="8"/>
      <c r="F29" s="5"/>
    </row>
    <row r="30" spans="4:6" x14ac:dyDescent="0.25">
      <c r="D30" s="4"/>
      <c r="E30" s="8"/>
      <c r="F30" s="5"/>
    </row>
    <row r="31" spans="4:6" x14ac:dyDescent="0.25">
      <c r="D31" s="4"/>
      <c r="E31" s="8"/>
      <c r="F31" s="5"/>
    </row>
    <row r="32" spans="4:6" x14ac:dyDescent="0.25">
      <c r="D32" s="4"/>
      <c r="E32" s="8"/>
      <c r="F32" s="5"/>
    </row>
    <row r="33" spans="4:6" x14ac:dyDescent="0.25">
      <c r="D33" s="11"/>
      <c r="E33" s="12"/>
      <c r="F33" s="13"/>
    </row>
    <row r="34" spans="4:6" ht="15.75" thickBot="1" x14ac:dyDescent="0.3">
      <c r="D34" s="6" t="s">
        <v>11</v>
      </c>
      <c r="E34" s="9">
        <v>0.4</v>
      </c>
      <c r="F34" s="7"/>
    </row>
  </sheetData>
  <hyperlinks>
    <hyperlink ref="F5" r:id="rId1" xr:uid="{E01607AB-6E36-4BB7-9AD1-1A787FAD49DF}"/>
    <hyperlink ref="F8" r:id="rId2" xr:uid="{8AF2533F-9911-43F0-BF64-B80F44F82DD0}"/>
    <hyperlink ref="F6" r:id="rId3" xr:uid="{D22B1759-233C-49AF-993F-6F524DE7E11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06A-C75F-4329-8AFF-555E9659B696}">
  <dimension ref="A1:G29"/>
  <sheetViews>
    <sheetView tabSelected="1" workbookViewId="0">
      <selection activeCell="G20" sqref="G20"/>
    </sheetView>
  </sheetViews>
  <sheetFormatPr baseColWidth="10" defaultColWidth="11.42578125" defaultRowHeight="15" x14ac:dyDescent="0.25"/>
  <cols>
    <col min="1" max="1" width="74.28515625" customWidth="1"/>
    <col min="2" max="2" width="6.140625" customWidth="1"/>
    <col min="3" max="4" width="12.140625" customWidth="1"/>
    <col min="5" max="5" width="11.28515625" bestFit="1" customWidth="1"/>
    <col min="6" max="6" width="129.42578125" customWidth="1"/>
    <col min="7" max="7" width="122.5703125" customWidth="1"/>
  </cols>
  <sheetData>
    <row r="1" spans="1:7" x14ac:dyDescent="0.25">
      <c r="A1" s="21" t="s">
        <v>35</v>
      </c>
      <c r="B1" s="21" t="s">
        <v>70</v>
      </c>
      <c r="C1" s="21" t="s">
        <v>36</v>
      </c>
      <c r="D1" s="21" t="s">
        <v>37</v>
      </c>
      <c r="E1" s="21" t="s">
        <v>53</v>
      </c>
      <c r="F1" s="21" t="s">
        <v>62</v>
      </c>
    </row>
    <row r="2" spans="1:7" x14ac:dyDescent="0.25">
      <c r="A2" t="s">
        <v>38</v>
      </c>
      <c r="B2">
        <v>30570</v>
      </c>
      <c r="C2" s="25" t="s">
        <v>55</v>
      </c>
      <c r="D2" s="25" t="s">
        <v>54</v>
      </c>
      <c r="E2" s="23" t="b">
        <v>1</v>
      </c>
    </row>
    <row r="3" spans="1:7" x14ac:dyDescent="0.25">
      <c r="A3" t="s">
        <v>39</v>
      </c>
      <c r="B3">
        <v>30986</v>
      </c>
      <c r="C3" s="26" t="s">
        <v>57</v>
      </c>
      <c r="D3" s="26" t="s">
        <v>56</v>
      </c>
      <c r="E3" s="23" t="b">
        <v>1</v>
      </c>
      <c r="F3" s="24" t="s">
        <v>71</v>
      </c>
    </row>
    <row r="4" spans="1:7" x14ac:dyDescent="0.25">
      <c r="A4" t="s">
        <v>40</v>
      </c>
      <c r="B4">
        <v>31015</v>
      </c>
      <c r="C4" s="26" t="s">
        <v>58</v>
      </c>
      <c r="D4" s="26" t="s">
        <v>76</v>
      </c>
      <c r="E4" s="23" t="b">
        <v>1</v>
      </c>
      <c r="F4" s="24" t="s">
        <v>73</v>
      </c>
    </row>
    <row r="5" spans="1:7" x14ac:dyDescent="0.25">
      <c r="A5" t="s">
        <v>41</v>
      </c>
      <c r="B5">
        <v>31044</v>
      </c>
      <c r="C5" s="26" t="s">
        <v>60</v>
      </c>
      <c r="D5" s="26" t="s">
        <v>59</v>
      </c>
      <c r="E5" s="23" t="b">
        <v>1</v>
      </c>
    </row>
    <row r="6" spans="1:7" x14ac:dyDescent="0.25">
      <c r="A6" t="s">
        <v>42</v>
      </c>
      <c r="B6">
        <v>30971</v>
      </c>
      <c r="D6" s="26" t="s">
        <v>61</v>
      </c>
      <c r="E6" s="23" t="b">
        <v>0</v>
      </c>
      <c r="F6" s="24"/>
      <c r="G6" s="24"/>
    </row>
    <row r="7" spans="1:7" x14ac:dyDescent="0.25">
      <c r="A7" t="s">
        <v>43</v>
      </c>
      <c r="B7">
        <v>31012</v>
      </c>
      <c r="C7" s="26" t="s">
        <v>64</v>
      </c>
      <c r="D7" s="26" t="s">
        <v>63</v>
      </c>
      <c r="E7" s="23" t="b">
        <v>1</v>
      </c>
      <c r="F7" s="24" t="s">
        <v>72</v>
      </c>
    </row>
    <row r="8" spans="1:7" x14ac:dyDescent="0.25">
      <c r="A8" t="s">
        <v>44</v>
      </c>
      <c r="B8">
        <v>30523</v>
      </c>
      <c r="C8" s="26" t="s">
        <v>66</v>
      </c>
      <c r="D8" s="26" t="s">
        <v>65</v>
      </c>
      <c r="E8" s="23" t="b">
        <v>1</v>
      </c>
    </row>
    <row r="9" spans="1:7" x14ac:dyDescent="0.25">
      <c r="A9" t="s">
        <v>45</v>
      </c>
      <c r="B9">
        <v>30846</v>
      </c>
      <c r="C9" s="26" t="s">
        <v>58</v>
      </c>
      <c r="D9" s="26" t="s">
        <v>67</v>
      </c>
      <c r="E9" s="23" t="b">
        <v>1</v>
      </c>
      <c r="F9" s="24"/>
    </row>
    <row r="10" spans="1:7" x14ac:dyDescent="0.25">
      <c r="A10" t="s">
        <v>46</v>
      </c>
      <c r="B10">
        <v>31034</v>
      </c>
      <c r="C10" s="26" t="s">
        <v>58</v>
      </c>
      <c r="D10" s="26" t="s">
        <v>67</v>
      </c>
      <c r="E10" s="23" t="b">
        <v>1</v>
      </c>
      <c r="F10" s="24"/>
    </row>
    <row r="11" spans="1:7" x14ac:dyDescent="0.25">
      <c r="A11" t="s">
        <v>50</v>
      </c>
      <c r="B11">
        <v>30793</v>
      </c>
      <c r="C11" s="26" t="s">
        <v>68</v>
      </c>
      <c r="D11" s="26" t="s">
        <v>68</v>
      </c>
      <c r="E11" s="23" t="b">
        <v>1</v>
      </c>
      <c r="F11" s="24"/>
    </row>
    <row r="12" spans="1:7" x14ac:dyDescent="0.25">
      <c r="A12" t="s">
        <v>47</v>
      </c>
      <c r="B12">
        <v>27566</v>
      </c>
      <c r="C12" s="26" t="s">
        <v>75</v>
      </c>
      <c r="D12" s="26" t="s">
        <v>74</v>
      </c>
      <c r="E12" s="23" t="b">
        <v>1</v>
      </c>
      <c r="F12" s="24"/>
    </row>
    <row r="13" spans="1:7" x14ac:dyDescent="0.25">
      <c r="A13" t="s">
        <v>48</v>
      </c>
      <c r="B13">
        <v>30915</v>
      </c>
      <c r="C13" s="26" t="s">
        <v>58</v>
      </c>
      <c r="D13" s="26" t="s">
        <v>67</v>
      </c>
      <c r="E13" s="23" t="b">
        <v>1</v>
      </c>
      <c r="F13" s="24"/>
    </row>
    <row r="14" spans="1:7" x14ac:dyDescent="0.25">
      <c r="A14" t="s">
        <v>52</v>
      </c>
      <c r="B14">
        <v>32019</v>
      </c>
      <c r="C14" s="26" t="s">
        <v>58</v>
      </c>
      <c r="D14" s="26" t="s">
        <v>67</v>
      </c>
      <c r="E14" s="23" t="b">
        <v>1</v>
      </c>
      <c r="F14" s="24"/>
    </row>
    <row r="15" spans="1:7" x14ac:dyDescent="0.25">
      <c r="A15" t="s">
        <v>49</v>
      </c>
      <c r="B15">
        <v>30521</v>
      </c>
      <c r="D15" s="26" t="s">
        <v>69</v>
      </c>
      <c r="E15" s="23" t="b">
        <v>0</v>
      </c>
      <c r="F15" s="24"/>
    </row>
    <row r="16" spans="1:7" x14ac:dyDescent="0.25">
      <c r="A16" t="s">
        <v>77</v>
      </c>
      <c r="C16" s="26" t="s">
        <v>58</v>
      </c>
      <c r="D16" s="26" t="s">
        <v>67</v>
      </c>
      <c r="E16" s="23" t="b">
        <v>0</v>
      </c>
    </row>
    <row r="17" spans="1:5" x14ac:dyDescent="0.25">
      <c r="A17" t="s">
        <v>78</v>
      </c>
      <c r="C17" s="26" t="s">
        <v>58</v>
      </c>
      <c r="D17" s="26" t="s">
        <v>67</v>
      </c>
      <c r="E17" s="23" t="b">
        <v>0</v>
      </c>
    </row>
    <row r="29" spans="1:5" x14ac:dyDescent="0.25">
      <c r="A29" t="s">
        <v>51</v>
      </c>
    </row>
  </sheetData>
  <sortState xmlns:xlrd2="http://schemas.microsoft.com/office/spreadsheetml/2017/richdata2" ref="A2:F15">
    <sortCondition ref="A2:A15"/>
  </sortState>
  <hyperlinks>
    <hyperlink ref="F7" r:id="rId1" xr:uid="{854160ED-0DB9-4A04-9DBE-594274A311FC}"/>
    <hyperlink ref="F4" r:id="rId2" xr:uid="{88E82DFC-EB42-4529-B950-47CB73D83A3E}"/>
    <hyperlink ref="F3" r:id="rId3" xr:uid="{389A271B-8030-4471-B0B2-427E7173FFA1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F57F-BFF6-4B16-8AC7-25E1199E4A61}">
  <dimension ref="A1:K21"/>
  <sheetViews>
    <sheetView workbookViewId="0">
      <selection activeCell="B43" sqref="B43"/>
    </sheetView>
  </sheetViews>
  <sheetFormatPr baseColWidth="10" defaultRowHeight="15" x14ac:dyDescent="0.25"/>
  <cols>
    <col min="1" max="1" width="47.7109375" customWidth="1"/>
    <col min="2" max="2" width="11.42578125" style="27"/>
    <col min="3" max="3" width="4.28515625" style="27" customWidth="1"/>
    <col min="4" max="4" width="50.140625" customWidth="1"/>
    <col min="5" max="5" width="12" style="27" customWidth="1"/>
    <col min="6" max="6" width="3.85546875" style="27" customWidth="1"/>
    <col min="7" max="7" width="45.42578125" customWidth="1"/>
    <col min="8" max="8" width="11.28515625" style="27" customWidth="1"/>
    <col min="9" max="9" width="3.5703125" style="27" customWidth="1"/>
    <col min="10" max="10" width="51" customWidth="1"/>
    <col min="11" max="11" width="11.42578125" style="27"/>
  </cols>
  <sheetData>
    <row r="1" spans="1:11" x14ac:dyDescent="0.25">
      <c r="A1" t="s">
        <v>79</v>
      </c>
      <c r="D1" t="s">
        <v>80</v>
      </c>
      <c r="G1" t="s">
        <v>81</v>
      </c>
      <c r="J1" t="s">
        <v>85</v>
      </c>
    </row>
    <row r="3" spans="1:11" x14ac:dyDescent="0.25">
      <c r="A3" t="s">
        <v>83</v>
      </c>
      <c r="B3" s="27">
        <v>144.88999999999999</v>
      </c>
      <c r="D3" t="s">
        <v>82</v>
      </c>
      <c r="E3" s="27">
        <v>64.709999999999994</v>
      </c>
      <c r="G3" t="s">
        <v>105</v>
      </c>
      <c r="H3" s="27">
        <v>299.99</v>
      </c>
      <c r="J3" t="s">
        <v>86</v>
      </c>
      <c r="K3" s="27">
        <v>54.73</v>
      </c>
    </row>
    <row r="4" spans="1:11" x14ac:dyDescent="0.25">
      <c r="A4" t="s">
        <v>84</v>
      </c>
      <c r="B4" s="27">
        <v>209.09</v>
      </c>
      <c r="D4" t="s">
        <v>98</v>
      </c>
      <c r="E4" s="27">
        <v>229</v>
      </c>
      <c r="G4" t="s">
        <v>110</v>
      </c>
      <c r="H4" s="27">
        <v>30</v>
      </c>
      <c r="J4" t="s">
        <v>119</v>
      </c>
      <c r="K4" s="27">
        <v>115.04</v>
      </c>
    </row>
    <row r="5" spans="1:11" x14ac:dyDescent="0.25">
      <c r="A5" t="s">
        <v>87</v>
      </c>
      <c r="B5" s="27">
        <v>34.75</v>
      </c>
      <c r="D5" t="s">
        <v>97</v>
      </c>
      <c r="E5" s="27">
        <v>164.61</v>
      </c>
      <c r="G5" t="s">
        <v>113</v>
      </c>
      <c r="H5" s="27">
        <v>20</v>
      </c>
      <c r="J5" t="s">
        <v>88</v>
      </c>
      <c r="K5" s="27">
        <v>294</v>
      </c>
    </row>
    <row r="6" spans="1:11" x14ac:dyDescent="0.25">
      <c r="A6" t="s">
        <v>89</v>
      </c>
      <c r="B6" s="27">
        <v>111.99</v>
      </c>
      <c r="D6" t="s">
        <v>96</v>
      </c>
      <c r="E6" s="27">
        <v>110</v>
      </c>
      <c r="G6" t="s">
        <v>115</v>
      </c>
      <c r="H6" s="27">
        <v>20</v>
      </c>
      <c r="J6" t="s">
        <v>93</v>
      </c>
      <c r="K6" s="27">
        <v>121.88</v>
      </c>
    </row>
    <row r="7" spans="1:11" x14ac:dyDescent="0.25">
      <c r="A7" t="s">
        <v>90</v>
      </c>
      <c r="B7" s="27">
        <v>14.05</v>
      </c>
      <c r="D7" t="s">
        <v>103</v>
      </c>
      <c r="E7" s="27">
        <v>99.99</v>
      </c>
      <c r="G7" t="s">
        <v>116</v>
      </c>
      <c r="H7" s="27">
        <v>10</v>
      </c>
      <c r="J7" t="s">
        <v>95</v>
      </c>
      <c r="K7" s="27">
        <v>50</v>
      </c>
    </row>
    <row r="8" spans="1:11" x14ac:dyDescent="0.25">
      <c r="A8" t="s">
        <v>91</v>
      </c>
      <c r="B8" s="27">
        <v>47.56</v>
      </c>
      <c r="D8" t="s">
        <v>104</v>
      </c>
      <c r="E8" s="27">
        <v>19.989999999999998</v>
      </c>
      <c r="J8" t="s">
        <v>106</v>
      </c>
      <c r="K8" s="27">
        <v>19.95</v>
      </c>
    </row>
    <row r="9" spans="1:11" x14ac:dyDescent="0.25">
      <c r="A9" t="s">
        <v>92</v>
      </c>
      <c r="B9" s="27">
        <v>149.93</v>
      </c>
      <c r="D9" t="s">
        <v>111</v>
      </c>
      <c r="E9" s="27">
        <v>79.75</v>
      </c>
      <c r="J9" t="s">
        <v>107</v>
      </c>
      <c r="K9" s="27">
        <v>120</v>
      </c>
    </row>
    <row r="10" spans="1:11" x14ac:dyDescent="0.25">
      <c r="A10" t="s">
        <v>94</v>
      </c>
      <c r="B10" s="27">
        <v>508</v>
      </c>
      <c r="D10" t="s">
        <v>112</v>
      </c>
      <c r="E10" s="27">
        <v>80</v>
      </c>
      <c r="J10" t="s">
        <v>108</v>
      </c>
      <c r="K10" s="27">
        <v>70</v>
      </c>
    </row>
    <row r="11" spans="1:11" x14ac:dyDescent="0.25">
      <c r="A11" t="s">
        <v>99</v>
      </c>
      <c r="B11" s="27">
        <v>180</v>
      </c>
      <c r="D11" t="s">
        <v>114</v>
      </c>
      <c r="E11" s="27">
        <v>25</v>
      </c>
      <c r="J11" t="s">
        <v>109</v>
      </c>
      <c r="K11" s="27">
        <v>150</v>
      </c>
    </row>
    <row r="12" spans="1:11" x14ac:dyDescent="0.25">
      <c r="A12" t="s">
        <v>100</v>
      </c>
      <c r="B12" s="27">
        <v>49.9</v>
      </c>
      <c r="D12" t="s">
        <v>117</v>
      </c>
      <c r="E12" s="27">
        <v>25</v>
      </c>
    </row>
    <row r="13" spans="1:11" x14ac:dyDescent="0.25">
      <c r="A13" t="s">
        <v>101</v>
      </c>
      <c r="B13" s="27">
        <v>19.899999999999999</v>
      </c>
      <c r="D13" t="s">
        <v>118</v>
      </c>
      <c r="E13" s="27">
        <v>35</v>
      </c>
    </row>
    <row r="14" spans="1:11" x14ac:dyDescent="0.25">
      <c r="A14" s="28" t="s">
        <v>102</v>
      </c>
      <c r="B14" s="27">
        <v>1163.0899999999999</v>
      </c>
    </row>
    <row r="15" spans="1:11" x14ac:dyDescent="0.25">
      <c r="A15" t="s">
        <v>120</v>
      </c>
      <c r="B15">
        <v>234.98</v>
      </c>
    </row>
    <row r="21" spans="2:11" x14ac:dyDescent="0.25">
      <c r="B21" s="27">
        <f>SUM(B3:B17)</f>
        <v>2868.13</v>
      </c>
      <c r="D21" s="27"/>
      <c r="E21" s="27">
        <f t="shared" ref="E21:K21" si="0">SUM(E3:E17)</f>
        <v>933.05</v>
      </c>
      <c r="G21" s="27"/>
      <c r="H21" s="27">
        <f t="shared" si="0"/>
        <v>379.99</v>
      </c>
      <c r="J21" s="27"/>
      <c r="K21" s="27">
        <f t="shared" si="0"/>
        <v>995.6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Wishlist</vt:lpstr>
      <vt:lpstr>Magic</vt:lpstr>
      <vt:lpstr>Carrera</vt:lpstr>
      <vt:lpstr>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Mayer</dc:creator>
  <cp:lastModifiedBy>stnimaye</cp:lastModifiedBy>
  <dcterms:created xsi:type="dcterms:W3CDTF">2024-04-23T17:48:06Z</dcterms:created>
  <dcterms:modified xsi:type="dcterms:W3CDTF">2026-02-08T22:21:30Z</dcterms:modified>
</cp:coreProperties>
</file>